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2" i="1"/>
  <c r="H3" i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  <c r="E3" i="1"/>
  <c r="E4" i="1"/>
  <c r="E5" i="1"/>
  <c r="E6" i="1"/>
  <c r="E7" i="1"/>
  <c r="E8" i="1"/>
  <c r="E2" i="1"/>
  <c r="B4" i="1"/>
  <c r="B5" i="1"/>
  <c r="B3" i="1"/>
  <c r="D2" i="1"/>
  <c r="B2" i="1"/>
</calcChain>
</file>

<file path=xl/sharedStrings.xml><?xml version="1.0" encoding="utf-8"?>
<sst xmlns="http://schemas.openxmlformats.org/spreadsheetml/2006/main" count="9" uniqueCount="9">
  <si>
    <t>编号</t>
    <phoneticPr fontId="1" type="noConversion"/>
  </si>
  <si>
    <t>O2体积分数</t>
    <phoneticPr fontId="1" type="noConversion"/>
  </si>
  <si>
    <t>O2质量分数</t>
    <phoneticPr fontId="1" type="noConversion"/>
  </si>
  <si>
    <t>N2质量分数</t>
    <phoneticPr fontId="1" type="noConversion"/>
  </si>
  <si>
    <t>外筒流速 cm/s</t>
    <phoneticPr fontId="1" type="noConversion"/>
  </si>
  <si>
    <t>乙烯流量 SCCM</t>
    <phoneticPr fontId="1" type="noConversion"/>
  </si>
  <si>
    <t>氧气流量 SLM</t>
    <phoneticPr fontId="1" type="noConversion"/>
  </si>
  <si>
    <t>空气流量 SLM</t>
    <phoneticPr fontId="1" type="noConversion"/>
  </si>
  <si>
    <t>内筒流速 cm/s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</si>
</sst>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0_ "/>
    <numFmt numFmtId="178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L6" sqref="L6"/>
    </sheetView>
  </sheetViews>
  <sheetFormatPr defaultRowHeight="14.25" x14ac:dyDescent="0.2"/>
  <cols>
    <col min="2" max="2" width="14.375" customWidth="1"/>
    <col min="3" max="3" width="14.125" customWidth="1"/>
    <col min="4" max="4" width="14.875" customWidth="1"/>
    <col min="5" max="5" width="15.375" customWidth="1"/>
    <col min="6" max="6" width="14.625" customWidth="1"/>
    <col min="7" max="7" width="12.5" customWidth="1"/>
    <col min="8" max="8" width="14.625" customWidth="1"/>
  </cols>
  <sheetData>
    <row r="1" spans="1:9" x14ac:dyDescent="0.2">
      <c r="A1" t="s">
        <v>0</v>
      </c>
      <c r="B1" t="s">
        <v>7</v>
      </c>
      <c r="C1" t="s">
        <v>6</v>
      </c>
      <c r="D1" t="s">
        <v>5</v>
      </c>
      <c r="E1" t="s">
        <v>4</v>
      </c>
      <c r="F1" t="s">
        <v>8</v>
      </c>
      <c r="G1" t="s">
        <v>1</v>
      </c>
      <c r="H1" t="s">
        <v>2</v>
      </c>
      <c r="I1" t="s">
        <v>3</v>
      </c>
    </row>
    <row r="2" spans="1:9" x14ac:dyDescent="0.2">
      <c r="A2">
        <v>1</v>
      </c>
      <c r="B2">
        <f>0.947*300</f>
        <v>284.09999999999997</v>
      </c>
      <c r="C2">
        <v>0</v>
      </c>
      <c r="D2">
        <f>0.97*200</f>
        <v>194</v>
      </c>
      <c r="E2" s="2">
        <f>4*(B2+C2)*1000/60/3.1416/(8.86^2-1.09^2)</f>
        <v>77.980315301374375</v>
      </c>
      <c r="F2" s="2">
        <f>4*D2/60/3.1416/(1.08^2)</f>
        <v>3.5294909417397919</v>
      </c>
      <c r="G2" s="1">
        <f>(C2+0.21*B2)/(C2+B2)</f>
        <v>0.21</v>
      </c>
      <c r="H2" s="1">
        <f>32*G2/(32*G2+28*(1-G2))</f>
        <v>0.23300970873786406</v>
      </c>
      <c r="I2" s="1">
        <f>1-H2</f>
        <v>0.76699029126213591</v>
      </c>
    </row>
    <row r="3" spans="1:9" x14ac:dyDescent="0.2">
      <c r="A3">
        <v>2</v>
      </c>
      <c r="B3">
        <f>0.8*300</f>
        <v>240</v>
      </c>
      <c r="C3">
        <v>0</v>
      </c>
      <c r="D3">
        <v>194</v>
      </c>
      <c r="E3" s="2">
        <f t="shared" ref="E3:E8" si="0">4*(B3+C3)*1000/60/3.1416/(8.86^2-1.09^2)</f>
        <v>65.875662345406042</v>
      </c>
      <c r="F3" s="2">
        <f t="shared" ref="F3:F8" si="1">4*D3/60/3.1416/(1.08^2)</f>
        <v>3.5294909417397919</v>
      </c>
      <c r="G3" s="1">
        <f t="shared" ref="G3:G8" si="2">(C3+0.21*B3)/(C3+B3)</f>
        <v>0.21</v>
      </c>
      <c r="H3" s="1">
        <f t="shared" ref="H3:H8" si="3">32*G3/(32*G3+28*(1-G3))</f>
        <v>0.23300970873786406</v>
      </c>
      <c r="I3" s="1">
        <f t="shared" ref="I3:I8" si="4">1-H3</f>
        <v>0.76699029126213591</v>
      </c>
    </row>
    <row r="4" spans="1:9" x14ac:dyDescent="0.2">
      <c r="A4">
        <v>3</v>
      </c>
      <c r="B4">
        <f t="shared" ref="B4:B5" si="5">0.8*300</f>
        <v>240</v>
      </c>
      <c r="C4">
        <v>0</v>
      </c>
      <c r="D4">
        <v>150</v>
      </c>
      <c r="E4" s="2">
        <f t="shared" si="0"/>
        <v>65.875662345406042</v>
      </c>
      <c r="F4" s="2">
        <f t="shared" si="1"/>
        <v>2.7289878415513855</v>
      </c>
      <c r="G4" s="1">
        <f t="shared" si="2"/>
        <v>0.21</v>
      </c>
      <c r="H4" s="1">
        <f t="shared" si="3"/>
        <v>0.23300970873786406</v>
      </c>
      <c r="I4" s="1">
        <f t="shared" si="4"/>
        <v>0.76699029126213591</v>
      </c>
    </row>
    <row r="5" spans="1:9" x14ac:dyDescent="0.2">
      <c r="A5">
        <v>4</v>
      </c>
      <c r="B5">
        <f t="shared" si="5"/>
        <v>240</v>
      </c>
      <c r="C5">
        <v>0</v>
      </c>
      <c r="D5">
        <v>132</v>
      </c>
      <c r="E5" s="2">
        <f t="shared" si="0"/>
        <v>65.875662345406042</v>
      </c>
      <c r="F5" s="2">
        <f t="shared" si="1"/>
        <v>2.4015093005652193</v>
      </c>
      <c r="G5" s="1">
        <f t="shared" si="2"/>
        <v>0.21</v>
      </c>
      <c r="H5" s="1">
        <f t="shared" si="3"/>
        <v>0.23300970873786406</v>
      </c>
      <c r="I5" s="1">
        <f t="shared" si="4"/>
        <v>0.76699029126213591</v>
      </c>
    </row>
    <row r="6" spans="1:9" x14ac:dyDescent="0.2">
      <c r="A6">
        <v>5</v>
      </c>
      <c r="B6">
        <v>75.900000000000006</v>
      </c>
      <c r="C6">
        <v>44.1</v>
      </c>
      <c r="D6">
        <v>194</v>
      </c>
      <c r="E6" s="2">
        <f t="shared" si="0"/>
        <v>32.937831172703021</v>
      </c>
      <c r="F6" s="2">
        <f t="shared" si="1"/>
        <v>3.5294909417397919</v>
      </c>
      <c r="G6" s="1">
        <f t="shared" si="2"/>
        <v>0.50032500000000002</v>
      </c>
      <c r="H6" s="1">
        <f t="shared" si="3"/>
        <v>0.53365687486875568</v>
      </c>
      <c r="I6" s="1">
        <f t="shared" si="4"/>
        <v>0.46634312513124432</v>
      </c>
    </row>
    <row r="7" spans="1:9" x14ac:dyDescent="0.2">
      <c r="A7">
        <v>6</v>
      </c>
      <c r="B7">
        <v>91.1</v>
      </c>
      <c r="C7">
        <v>28.9</v>
      </c>
      <c r="D7">
        <v>194</v>
      </c>
      <c r="E7" s="2">
        <f t="shared" si="0"/>
        <v>32.937831172703021</v>
      </c>
      <c r="F7" s="2">
        <f t="shared" si="1"/>
        <v>3.5294909417397919</v>
      </c>
      <c r="G7" s="1">
        <f t="shared" si="2"/>
        <v>0.40025833333333327</v>
      </c>
      <c r="H7" s="1">
        <f t="shared" si="3"/>
        <v>0.43269660631216694</v>
      </c>
      <c r="I7" s="1">
        <f t="shared" si="4"/>
        <v>0.56730339368783311</v>
      </c>
    </row>
    <row r="8" spans="1:9" x14ac:dyDescent="0.2">
      <c r="A8">
        <v>7</v>
      </c>
      <c r="B8">
        <v>106.3</v>
      </c>
      <c r="C8">
        <v>13.7</v>
      </c>
      <c r="D8">
        <v>194</v>
      </c>
      <c r="E8" s="2">
        <f t="shared" si="0"/>
        <v>32.937831172703021</v>
      </c>
      <c r="F8" s="2">
        <f t="shared" si="1"/>
        <v>3.5294909417397919</v>
      </c>
      <c r="G8" s="1">
        <f t="shared" si="2"/>
        <v>0.30019166666666663</v>
      </c>
      <c r="H8" s="1">
        <f t="shared" si="3"/>
        <v>0.3289685316481416</v>
      </c>
      <c r="I8" s="1">
        <f t="shared" si="4"/>
        <v>0.67103146835185834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2017-09-18T07:38:27Z</dcterms:modified>
</cp:coreProperties>
</file>